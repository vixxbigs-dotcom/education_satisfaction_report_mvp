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  <sheet state="visible" name="시트1" sheetId="2" r:id="rId6"/>
  </sheets>
  <definedNames>
    <definedName hidden="1" localSheetId="0" name="_xlnm._FilterDatabase">'설문지 응답 시트1'!$A$1:$T$22</definedName>
  </definedNames>
  <calcPr/>
</workbook>
</file>

<file path=xl/sharedStrings.xml><?xml version="1.0" encoding="utf-8"?>
<sst xmlns="http://schemas.openxmlformats.org/spreadsheetml/2006/main" count="194" uniqueCount="118">
  <si>
    <t>타임스탬프</t>
  </si>
  <si>
    <t>조 구분</t>
  </si>
  <si>
    <t>소속과 성함을 입력해주세요.
(ex: 00팀 / 홍길동)</t>
  </si>
  <si>
    <t>1. (학습 내용) 사전 학습한 온라인 교육의 난이도는 적절했다.</t>
  </si>
  <si>
    <t>2. (오프라인 연계) 사전 이러닝이 오프라인 교육 내용을 이해하는 데 도움이 되었다.</t>
  </si>
  <si>
    <t>3. (교육 내용) 교육 내용은 인사조직 의사결정에 필요한 핵심 개념과 사례를 충실히 다루었다.</t>
  </si>
  <si>
    <t>4. (난이도) 오프라인 교육의 난이도는 적절했다.</t>
  </si>
  <si>
    <t>5. (강사) 강사는 교육 주제에 대한 전문 지식이 충분했다.</t>
  </si>
  <si>
    <t>6. (강사) 강사는 교육 내용을 이해하기 쉽게 설명하였다.</t>
  </si>
  <si>
    <t>7. (실습·참여) 워크숍 중 실습·토론 활동이 학습 이해에 도움이 되었다.</t>
  </si>
  <si>
    <t>8. (퍼실리테이터) 퍼실리테이터(강사)는 팀이 막힐 때 적절한 질문과 가이드를 제공했다.</t>
  </si>
  <si>
    <t>9. (학습 성취) 액션러닝을 통해 워크숍에서 배운 개념을 실제 문제에 적용해 보는 경험을 했다.</t>
  </si>
  <si>
    <t>10. (운영 만족도) 교육 안내, 일정, 장소·시설 등 운영 전반이 원활했다.</t>
  </si>
  <si>
    <t>11. (커뮤니케이션) 교육 운영자의 사전·당일 안내가 명확하고 신속했다.</t>
  </si>
  <si>
    <t>12. (종합 만족도) 이번 사내 MBA 과정에 전반적으로 얼마나 만족하십니까?</t>
  </si>
  <si>
    <t>13. (NPS) 이 과정을 동료에게 추천하실 의향이 어느 정도이십니까?</t>
  </si>
  <si>
    <t>14. (구성요소 비교) 이번 과정에서 가장 도움이 된 학습 방식은 무엇입니까? (단일 선택)</t>
  </si>
  <si>
    <t>15. (현업적용) 교육 내용 중 업무에 가장 먼저 적용해 보고 싶은 1가지는 무엇인가요?</t>
  </si>
  <si>
    <t>16. (우수 요소) 본 과정에서 가장 좋았던 점은 무엇이며, 그 이유는 무엇인가요?</t>
  </si>
  <si>
    <t>17. (개선 요소) 본 과정에서 보완·개선이 필요한 점은 무엇이며, 구체적인 제안이 있다면 적어 주세요.</t>
  </si>
  <si>
    <t>2조</t>
  </si>
  <si>
    <t>Gra노현석</t>
  </si>
  <si>
    <t>오프라인 워크숍</t>
  </si>
  <si>
    <t>피드백</t>
  </si>
  <si>
    <t>어떻게 피드백 할지</t>
  </si>
  <si>
    <t>없음</t>
  </si>
  <si>
    <t>의료기기2팀 채서광</t>
  </si>
  <si>
    <t>액션러닝</t>
  </si>
  <si>
    <t>팀 관리</t>
  </si>
  <si>
    <t>팀관리 방법</t>
  </si>
  <si>
    <t>국책과제파트/허은영</t>
  </si>
  <si>
    <t>인사제도</t>
  </si>
  <si>
    <t>현실적으로 회사의 인사제도 개선 필요</t>
  </si>
  <si>
    <t>직원이 아니라 임원이 들어야 할 내용, 본 과정 학습으로 개선될 내용이 아님,,</t>
  </si>
  <si>
    <t>B2B상품기획팀/이형석</t>
  </si>
  <si>
    <t>성관관리</t>
  </si>
  <si>
    <t>막연하게 생각했던 것들을 교육을 통해서 이해하고 중요 내용에 대하여 정립하게 되었습니다</t>
  </si>
  <si>
    <t xml:space="preserve">없음 </t>
  </si>
  <si>
    <t>3조</t>
  </si>
  <si>
    <t>영업기획부 안영훈</t>
  </si>
  <si>
    <t>ai활용</t>
  </si>
  <si>
    <t>강사님의 강의 스타일</t>
  </si>
  <si>
    <t>없습니다</t>
  </si>
  <si>
    <t>영업1부1팀 / 이인희</t>
  </si>
  <si>
    <t>ㅇ</t>
  </si>
  <si>
    <t>영업1부2팀 / 홍훈기</t>
  </si>
  <si>
    <t>팀원에게 피드백하는법</t>
  </si>
  <si>
    <t>같은주제로 대화형 교육</t>
  </si>
  <si>
    <t xml:space="preserve"> </t>
  </si>
  <si>
    <t>영업1부3팀 김용순</t>
  </si>
  <si>
    <t>AMO 활용한 직원 분석</t>
  </si>
  <si>
    <t>토론, 각자의 의견 공유를 통해 실제 일어날 수 있는 상황에 대해 참조할 수 있을 것 같음.</t>
  </si>
  <si>
    <t>4조</t>
  </si>
  <si>
    <t>원료팀, 안승현</t>
  </si>
  <si>
    <t>.</t>
  </si>
  <si>
    <t>김훈</t>
  </si>
  <si>
    <t>AX</t>
  </si>
  <si>
    <t>조별토론</t>
  </si>
  <si>
    <t>없다</t>
  </si>
  <si>
    <t>원료팀 한준호</t>
  </si>
  <si>
    <t>인사교육내용</t>
  </si>
  <si>
    <t>실무에 적용 가능 함</t>
  </si>
  <si>
    <t>제품2팀/이주영</t>
  </si>
  <si>
    <t>다양성 및 피드뱍에대한내용</t>
  </si>
  <si>
    <t>IPC파트 정경훈</t>
  </si>
  <si>
    <t>인사조직 피드백</t>
  </si>
  <si>
    <t>N/A</t>
  </si>
  <si>
    <t>좀 더 여유로운 액션코칭 피드백 시간 확보</t>
  </si>
  <si>
    <t>시설관리팀/서정엽</t>
  </si>
  <si>
    <t>팀구성원에 대한 적절한 피드백</t>
  </si>
  <si>
    <t>적절한 인사관리 기법을 알 수 있어서 좋았습니다.</t>
  </si>
  <si>
    <t>대체적으로 만족하였습니다.</t>
  </si>
  <si>
    <t>품질보증2팀 채윤경</t>
  </si>
  <si>
    <t>토론사례가 현실적이어서 적용해보고싶습니다</t>
  </si>
  <si>
    <t>현실적인 토론사례, 우수한 강의전달력</t>
  </si>
  <si>
    <t>좋았습니다</t>
  </si>
  <si>
    <t>5조</t>
  </si>
  <si>
    <t>준법경영팀 박상윤</t>
  </si>
  <si>
    <t>사전 이러닝</t>
  </si>
  <si>
    <t>인사조직 관리</t>
  </si>
  <si>
    <t>인사에 대한 지식증가</t>
  </si>
  <si>
    <t>좋습니다.</t>
  </si>
  <si>
    <t>파마리서치바이오 /박주열</t>
  </si>
  <si>
    <t>인사팀 정용준</t>
  </si>
  <si>
    <t>동기부여 이론 기반 피드백</t>
  </si>
  <si>
    <t xml:space="preserve"> ㅣ</t>
  </si>
  <si>
    <t xml:space="preserve"> 없습니다</t>
  </si>
  <si>
    <t>제관 김민종</t>
  </si>
  <si>
    <t>박동일</t>
  </si>
  <si>
    <t>조직행동론</t>
  </si>
  <si>
    <t>강의 미쳤음 개좋음</t>
  </si>
  <si>
    <t>완벽했음</t>
  </si>
  <si>
    <t>순번</t>
  </si>
  <si>
    <t>설문 응답자</t>
  </si>
  <si>
    <t>조</t>
  </si>
  <si>
    <t>구분</t>
  </si>
  <si>
    <t>8. (액션러닝_퍼실리테이터)</t>
  </si>
  <si>
    <t>9. (액션러닝_학습 성취)</t>
  </si>
  <si>
    <t>노현석</t>
  </si>
  <si>
    <t>김재훈 코치</t>
  </si>
  <si>
    <t>채서광</t>
  </si>
  <si>
    <t>허은영</t>
  </si>
  <si>
    <t>김규리 코치</t>
  </si>
  <si>
    <t>이형석</t>
  </si>
  <si>
    <t>안영훈</t>
  </si>
  <si>
    <t>이인희</t>
  </si>
  <si>
    <t>홍훈기</t>
  </si>
  <si>
    <t>김용순</t>
  </si>
  <si>
    <t>안승현</t>
  </si>
  <si>
    <t>한준호</t>
  </si>
  <si>
    <t>이주영</t>
  </si>
  <si>
    <t>정경훈</t>
  </si>
  <si>
    <t>서정엽</t>
  </si>
  <si>
    <t>채윤경</t>
  </si>
  <si>
    <t>박상윤</t>
  </si>
  <si>
    <t>박주열</t>
  </si>
  <si>
    <t>정용준</t>
  </si>
  <si>
    <t>김민종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</si>
</sst>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shrinkToFit="0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3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 shrinkToFit="0" vertical="center" wrapText="0"/>
    </xf>
    <xf borderId="6" fillId="4" fontId="3" numFmtId="0" xfId="0" applyAlignment="1" applyBorder="1" applyFill="1" applyFont="1">
      <alignment readingOrder="0"/>
    </xf>
    <xf borderId="7" fillId="4" fontId="1" numFmtId="0" xfId="0" applyBorder="1" applyFont="1"/>
    <xf borderId="8" fillId="4" fontId="3" numFmtId="0" xfId="0" applyAlignment="1" applyBorder="1" applyFont="1">
      <alignment readingOrder="0" vertical="center"/>
    </xf>
    <xf borderId="9" fillId="4" fontId="1" numFmtId="2" xfId="0" applyAlignment="1" applyBorder="1" applyFont="1" applyNumberFormat="1">
      <alignment vertical="center"/>
    </xf>
    <xf borderId="7" fillId="4" fontId="3" numFmtId="0" xfId="0" applyAlignment="1" applyBorder="1" applyFont="1">
      <alignment readingOrder="0"/>
    </xf>
    <xf borderId="6" fillId="0" fontId="4" numFmtId="0" xfId="0" applyBorder="1" applyFont="1"/>
    <xf borderId="7" fillId="5" fontId="3" numFmtId="0" xfId="0" applyAlignment="1" applyBorder="1" applyFill="1" applyFont="1">
      <alignment readingOrder="0"/>
    </xf>
    <xf borderId="7" fillId="5" fontId="1" numFmtId="0" xfId="0" applyBorder="1" applyFont="1"/>
    <xf borderId="9" fillId="5" fontId="3" numFmtId="0" xfId="0" applyAlignment="1" applyBorder="1" applyFont="1">
      <alignment readingOrder="0" vertical="center"/>
    </xf>
    <xf borderId="9" fillId="5" fontId="1" numFmtId="2" xfId="0" applyAlignment="1" applyBorder="1" applyFont="1" applyNumberFormat="1">
      <alignment vertical="center"/>
    </xf>
    <xf borderId="7" fillId="5" fontId="1" numFmtId="2" xfId="0" applyBorder="1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5" pivot="0" name="설문지 응답 시트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시트1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T22" displayName="Form_Responses" name="Form_Responses" id="1">
  <autoFilter ref="$A$1:$T$22"/>
  <tableColumns count="20">
    <tableColumn name="타임스탬프" id="1"/>
    <tableColumn name="조 구분" id="2"/>
    <tableColumn name="소속과 성함을 입력해주세요._x000a_(ex: 00팀 / 홍길동)" id="3"/>
    <tableColumn totalsRowFunction="custom" name="1. (학습 내용) 사전 학습한 온라인 교육의 난이도는 적절했다." id="4"/>
    <tableColumn totalsRowFunction="custom" name="2. (오프라인 연계) 사전 이러닝이 오프라인 교육 내용을 이해하는 데 도움이 되었다." id="5"/>
    <tableColumn totalsRowFunction="custom" name="3. (교육 내용) 교육 내용은 인사조직 의사결정에 필요한 핵심 개념과 사례를 충실히 다루었다." id="6"/>
    <tableColumn totalsRowFunction="custom" name="4. (난이도) 오프라인 교육의 난이도는 적절했다." id="7"/>
    <tableColumn totalsRowFunction="custom" name="5. (강사) 강사는 교육 주제에 대한 전문 지식이 충분했다." id="8"/>
    <tableColumn totalsRowFunction="custom" name="6. (강사) 강사는 교육 내용을 이해하기 쉽게 설명하였다." id="9"/>
    <tableColumn totalsRowFunction="custom" name="7. (실습·참여) 워크숍 중 실습·토론 활동이 학습 이해에 도움이 되었다." id="10"/>
    <tableColumn totalsRowFunction="custom" name="8. (퍼실리테이터) 퍼실리테이터(강사)는 팀이 막힐 때 적절한 질문과 가이드를 제공했다." id="11"/>
    <tableColumn totalsRowFunction="custom" name="9. (학습 성취) 액션러닝을 통해 워크숍에서 배운 개념을 실제 문제에 적용해 보는 경험을 했다." id="12"/>
    <tableColumn totalsRowFunction="custom" name="10. (운영 만족도) 교육 안내, 일정, 장소·시설 등 운영 전반이 원활했다." id="13"/>
    <tableColumn totalsRowFunction="custom" name="11. (커뮤니케이션) 교육 운영자의 사전·당일 안내가 명확하고 신속했다." id="14"/>
    <tableColumn totalsRowFunction="custom" name="12. (종합 만족도) 이번 사내 MBA 과정에 전반적으로 얼마나 만족하십니까?" id="15"/>
    <tableColumn totalsRowFunction="custom" name="13. (NPS) 이 과정을 동료에게 추천하실 의향이 어느 정도이십니까?" id="16"/>
    <tableColumn name="14. (구성요소 비교) 이번 과정에서 가장 도움이 된 학습 방식은 무엇입니까? (단일 선택)" id="17"/>
    <tableColumn name="15. (현업적용) 교육 내용 중 업무에 가장 먼저 적용해 보고 싶은 1가지는 무엇인가요?" id="18"/>
    <tableColumn name="16. (우수 요소) 본 과정에서 가장 좋았던 점은 무엇이며, 그 이유는 무엇인가요?" id="19"/>
    <tableColumn name="17. (개선 요소) 본 과정에서 보완·개선이 필요한 점은 무엇이며, 구체적인 제안이 있다면 적어 주세요." id="20"/>
  </tableColumns>
  <tableStyleInfo name="설문지 응답 시트1-style" showColumnStripes="0" showFirstColumn="1" showLastColumn="1" showRowStripes="1"/>
</table>
</file>

<file path=xl/tables/table2.xml><?xml version="1.0" encoding="utf-8"?>
<table xmlns="http://schemas.openxmlformats.org/spreadsheetml/2006/main" ref="A1:E21" displayName="표1" name="표1" id="2">
  <tableColumns count="5">
    <tableColumn name="순번" id="1"/>
    <tableColumn name="설문 응답자" id="2"/>
    <tableColumn name="조" id="3"/>
    <tableColumn name="8. (퍼실리테이터) 퍼실리테이터(강사)는 팀이 막힐 때 적절한 질문과 가이드를 제공했다." id="4"/>
    <tableColumn name="9. (학습 성취) 액션러닝을 통해 워크숍에서 배운 개념을 실제 문제에 적용해 보는 경험을 했다." id="5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13"/>
    <col customWidth="1" min="5" max="5" width="35.75"/>
    <col customWidth="1" min="6" max="6" width="37.63"/>
    <col customWidth="1" min="7" max="7" width="23.25"/>
    <col customWidth="1" min="8" max="8" width="26.63"/>
    <col customWidth="1" min="9" max="9" width="26.25"/>
    <col customWidth="1" min="10" max="10" width="31.5"/>
    <col customWidth="1" min="11" max="11" width="37.5"/>
    <col customWidth="1" min="12" max="12" width="37.63"/>
    <col customWidth="1" min="13" max="13" width="32.38"/>
    <col customWidth="1" min="14" max="14" width="31.88"/>
    <col customWidth="1" min="15" max="15" width="35.38"/>
    <col customWidth="1" min="16" max="16" width="32.5"/>
    <col customWidth="1" min="17" max="18" width="37.63"/>
    <col customWidth="1" min="19" max="19" width="35.25"/>
    <col customWidth="1" min="20" max="20" width="37.63"/>
    <col customWidth="1" min="21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46214.72974231481</v>
      </c>
      <c r="B2" s="3" t="s">
        <v>20</v>
      </c>
      <c r="C2" s="4" t="s">
        <v>21</v>
      </c>
      <c r="D2" s="4">
        <v>3.0</v>
      </c>
      <c r="E2" s="4">
        <v>3.0</v>
      </c>
      <c r="F2" s="4">
        <v>3.0</v>
      </c>
      <c r="G2" s="4">
        <v>3.0</v>
      </c>
      <c r="H2" s="4">
        <v>3.0</v>
      </c>
      <c r="I2" s="4">
        <v>3.0</v>
      </c>
      <c r="J2" s="4">
        <v>3.0</v>
      </c>
      <c r="K2" s="4">
        <v>3.0</v>
      </c>
      <c r="L2" s="4">
        <v>3.0</v>
      </c>
      <c r="M2" s="4">
        <v>3.0</v>
      </c>
      <c r="N2" s="4">
        <v>3.0</v>
      </c>
      <c r="O2" s="4">
        <v>3.0</v>
      </c>
      <c r="P2" s="4">
        <v>5.0</v>
      </c>
      <c r="Q2" s="4" t="s">
        <v>22</v>
      </c>
      <c r="R2" s="4" t="s">
        <v>23</v>
      </c>
      <c r="S2" s="4" t="s">
        <v>24</v>
      </c>
      <c r="T2" s="4" t="s">
        <v>25</v>
      </c>
    </row>
    <row r="3" ht="22.5" customHeight="1">
      <c r="A3" s="2">
        <v>46214.73000545139</v>
      </c>
      <c r="B3" s="3" t="s">
        <v>20</v>
      </c>
      <c r="C3" s="4" t="s">
        <v>26</v>
      </c>
      <c r="D3" s="4">
        <v>5.0</v>
      </c>
      <c r="E3" s="4">
        <v>4.0</v>
      </c>
      <c r="F3" s="4">
        <v>4.0</v>
      </c>
      <c r="G3" s="4">
        <v>5.0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5.0</v>
      </c>
      <c r="N3" s="4">
        <v>5.0</v>
      </c>
      <c r="O3" s="4">
        <v>5.0</v>
      </c>
      <c r="P3" s="4">
        <v>7.0</v>
      </c>
      <c r="Q3" s="4" t="s">
        <v>27</v>
      </c>
      <c r="R3" s="4" t="s">
        <v>28</v>
      </c>
      <c r="S3" s="4" t="s">
        <v>29</v>
      </c>
      <c r="T3" s="4" t="s">
        <v>25</v>
      </c>
    </row>
    <row r="4" ht="22.5" customHeight="1">
      <c r="A4" s="2">
        <v>46214.79558118056</v>
      </c>
      <c r="B4" s="3" t="s">
        <v>20</v>
      </c>
      <c r="C4" s="4" t="s">
        <v>30</v>
      </c>
      <c r="D4" s="4">
        <v>2.0</v>
      </c>
      <c r="E4" s="4">
        <v>2.0</v>
      </c>
      <c r="F4" s="4">
        <v>2.0</v>
      </c>
      <c r="G4" s="4">
        <v>3.0</v>
      </c>
      <c r="H4" s="4">
        <v>3.0</v>
      </c>
      <c r="I4" s="4">
        <v>3.0</v>
      </c>
      <c r="J4" s="4">
        <v>4.0</v>
      </c>
      <c r="K4" s="4">
        <v>4.0</v>
      </c>
      <c r="L4" s="4">
        <v>2.0</v>
      </c>
      <c r="M4" s="4">
        <v>5.0</v>
      </c>
      <c r="N4" s="4">
        <v>4.0</v>
      </c>
      <c r="O4" s="4">
        <v>2.0</v>
      </c>
      <c r="P4" s="4">
        <v>0.0</v>
      </c>
      <c r="Q4" s="4" t="s">
        <v>22</v>
      </c>
      <c r="R4" s="4" t="s">
        <v>31</v>
      </c>
      <c r="S4" s="4" t="s">
        <v>32</v>
      </c>
      <c r="T4" s="4" t="s">
        <v>33</v>
      </c>
    </row>
    <row r="5" ht="22.5" customHeight="1">
      <c r="A5" s="5">
        <v>46216.43806424769</v>
      </c>
      <c r="B5" s="3" t="s">
        <v>20</v>
      </c>
      <c r="C5" s="3" t="s">
        <v>34</v>
      </c>
      <c r="D5" s="3">
        <v>4.0</v>
      </c>
      <c r="E5" s="3">
        <v>4.0</v>
      </c>
      <c r="F5" s="3">
        <v>5.0</v>
      </c>
      <c r="G5" s="3">
        <v>4.0</v>
      </c>
      <c r="H5" s="3">
        <v>5.0</v>
      </c>
      <c r="I5" s="3">
        <v>5.0</v>
      </c>
      <c r="J5" s="3">
        <v>4.0</v>
      </c>
      <c r="K5" s="3">
        <v>3.0</v>
      </c>
      <c r="L5" s="3">
        <v>3.0</v>
      </c>
      <c r="M5" s="3">
        <v>4.0</v>
      </c>
      <c r="N5" s="3">
        <v>4.0</v>
      </c>
      <c r="O5" s="3">
        <v>4.0</v>
      </c>
      <c r="P5" s="3">
        <v>7.0</v>
      </c>
      <c r="Q5" s="3" t="s">
        <v>22</v>
      </c>
      <c r="R5" s="3" t="s">
        <v>35</v>
      </c>
      <c r="S5" s="3" t="s">
        <v>36</v>
      </c>
      <c r="T5" s="3" t="s">
        <v>37</v>
      </c>
    </row>
    <row r="6" ht="22.5" customHeight="1">
      <c r="A6" s="2">
        <v>46214.729760682865</v>
      </c>
      <c r="B6" s="3" t="s">
        <v>38</v>
      </c>
      <c r="C6" s="4" t="s">
        <v>39</v>
      </c>
      <c r="D6" s="4">
        <v>5.0</v>
      </c>
      <c r="E6" s="4">
        <v>5.0</v>
      </c>
      <c r="F6" s="4">
        <v>5.0</v>
      </c>
      <c r="G6" s="4">
        <v>5.0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5.0</v>
      </c>
      <c r="N6" s="4">
        <v>5.0</v>
      </c>
      <c r="O6" s="4">
        <v>5.0</v>
      </c>
      <c r="P6" s="4">
        <v>10.0</v>
      </c>
      <c r="Q6" s="4" t="s">
        <v>22</v>
      </c>
      <c r="R6" s="4" t="s">
        <v>40</v>
      </c>
      <c r="S6" s="4" t="s">
        <v>41</v>
      </c>
      <c r="T6" s="4" t="s">
        <v>42</v>
      </c>
    </row>
    <row r="7" ht="22.5" customHeight="1">
      <c r="A7" s="2">
        <v>46214.729830173615</v>
      </c>
      <c r="B7" s="3" t="s">
        <v>38</v>
      </c>
      <c r="C7" s="4" t="s">
        <v>43</v>
      </c>
      <c r="D7" s="4">
        <v>5.0</v>
      </c>
      <c r="E7" s="4">
        <v>5.0</v>
      </c>
      <c r="F7" s="4">
        <v>5.0</v>
      </c>
      <c r="G7" s="4">
        <v>5.0</v>
      </c>
      <c r="H7" s="4">
        <v>5.0</v>
      </c>
      <c r="I7" s="4">
        <v>5.0</v>
      </c>
      <c r="J7" s="4">
        <v>5.0</v>
      </c>
      <c r="K7" s="4">
        <v>5.0</v>
      </c>
      <c r="L7" s="4">
        <v>5.0</v>
      </c>
      <c r="M7" s="4">
        <v>5.0</v>
      </c>
      <c r="N7" s="4">
        <v>5.0</v>
      </c>
      <c r="O7" s="4">
        <v>5.0</v>
      </c>
      <c r="P7" s="4">
        <v>10.0</v>
      </c>
      <c r="Q7" s="4" t="s">
        <v>22</v>
      </c>
      <c r="R7" s="4" t="s">
        <v>44</v>
      </c>
      <c r="S7" s="4" t="s">
        <v>44</v>
      </c>
      <c r="T7" s="4" t="s">
        <v>44</v>
      </c>
    </row>
    <row r="8" ht="22.5" customHeight="1">
      <c r="A8" s="2">
        <v>46214.73076686343</v>
      </c>
      <c r="B8" s="3" t="s">
        <v>38</v>
      </c>
      <c r="C8" s="4" t="s">
        <v>45</v>
      </c>
      <c r="D8" s="4">
        <v>5.0</v>
      </c>
      <c r="E8" s="4">
        <v>5.0</v>
      </c>
      <c r="F8" s="4">
        <v>5.0</v>
      </c>
      <c r="G8" s="4">
        <v>5.0</v>
      </c>
      <c r="H8" s="4">
        <v>5.0</v>
      </c>
      <c r="I8" s="4">
        <v>5.0</v>
      </c>
      <c r="J8" s="4">
        <v>5.0</v>
      </c>
      <c r="K8" s="4">
        <v>5.0</v>
      </c>
      <c r="L8" s="4">
        <v>5.0</v>
      </c>
      <c r="M8" s="4">
        <v>5.0</v>
      </c>
      <c r="N8" s="4">
        <v>5.0</v>
      </c>
      <c r="O8" s="4">
        <v>5.0</v>
      </c>
      <c r="P8" s="4">
        <v>10.0</v>
      </c>
      <c r="Q8" s="4" t="s">
        <v>22</v>
      </c>
      <c r="R8" s="4" t="s">
        <v>46</v>
      </c>
      <c r="S8" s="4" t="s">
        <v>47</v>
      </c>
      <c r="T8" s="4" t="s">
        <v>48</v>
      </c>
    </row>
    <row r="9" ht="22.5" customHeight="1">
      <c r="A9" s="2">
        <v>46214.73704703704</v>
      </c>
      <c r="B9" s="3" t="s">
        <v>38</v>
      </c>
      <c r="C9" s="4" t="s">
        <v>49</v>
      </c>
      <c r="D9" s="4">
        <v>5.0</v>
      </c>
      <c r="E9" s="4">
        <v>5.0</v>
      </c>
      <c r="F9" s="4">
        <v>5.0</v>
      </c>
      <c r="G9" s="4">
        <v>5.0</v>
      </c>
      <c r="H9" s="4">
        <v>5.0</v>
      </c>
      <c r="I9" s="4">
        <v>5.0</v>
      </c>
      <c r="J9" s="4">
        <v>5.0</v>
      </c>
      <c r="K9" s="4">
        <v>5.0</v>
      </c>
      <c r="L9" s="4">
        <v>5.0</v>
      </c>
      <c r="M9" s="4">
        <v>5.0</v>
      </c>
      <c r="N9" s="4">
        <v>5.0</v>
      </c>
      <c r="O9" s="4">
        <v>5.0</v>
      </c>
      <c r="P9" s="4">
        <v>10.0</v>
      </c>
      <c r="Q9" s="4" t="s">
        <v>22</v>
      </c>
      <c r="R9" s="4" t="s">
        <v>50</v>
      </c>
      <c r="S9" s="4" t="s">
        <v>51</v>
      </c>
      <c r="T9" s="4" t="s">
        <v>25</v>
      </c>
    </row>
    <row r="10" ht="22.5" customHeight="1">
      <c r="A10" s="2">
        <v>46214.72985077546</v>
      </c>
      <c r="B10" s="3" t="s">
        <v>52</v>
      </c>
      <c r="C10" s="4" t="s">
        <v>53</v>
      </c>
      <c r="D10" s="4">
        <v>5.0</v>
      </c>
      <c r="E10" s="4">
        <v>5.0</v>
      </c>
      <c r="F10" s="4">
        <v>5.0</v>
      </c>
      <c r="G10" s="4">
        <v>5.0</v>
      </c>
      <c r="H10" s="4">
        <v>5.0</v>
      </c>
      <c r="I10" s="4">
        <v>5.0</v>
      </c>
      <c r="J10" s="4">
        <v>5.0</v>
      </c>
      <c r="K10" s="4">
        <v>4.0</v>
      </c>
      <c r="L10" s="4">
        <v>4.0</v>
      </c>
      <c r="M10" s="4">
        <v>5.0</v>
      </c>
      <c r="N10" s="4">
        <v>5.0</v>
      </c>
      <c r="O10" s="4">
        <v>5.0</v>
      </c>
      <c r="P10" s="4">
        <v>10.0</v>
      </c>
      <c r="Q10" s="4" t="s">
        <v>22</v>
      </c>
      <c r="R10" s="4" t="s">
        <v>54</v>
      </c>
      <c r="S10" s="4" t="s">
        <v>54</v>
      </c>
      <c r="T10" s="4" t="s">
        <v>54</v>
      </c>
    </row>
    <row r="11" ht="22.5" customHeight="1">
      <c r="A11" s="2">
        <v>46214.73006238426</v>
      </c>
      <c r="B11" s="3" t="s">
        <v>52</v>
      </c>
      <c r="C11" s="4" t="s">
        <v>55</v>
      </c>
      <c r="D11" s="4">
        <v>5.0</v>
      </c>
      <c r="E11" s="4">
        <v>4.0</v>
      </c>
      <c r="F11" s="4">
        <v>5.0</v>
      </c>
      <c r="G11" s="4">
        <v>4.0</v>
      </c>
      <c r="H11" s="4">
        <v>5.0</v>
      </c>
      <c r="I11" s="4">
        <v>5.0</v>
      </c>
      <c r="J11" s="4">
        <v>5.0</v>
      </c>
      <c r="K11" s="4">
        <v>5.0</v>
      </c>
      <c r="L11" s="4">
        <v>5.0</v>
      </c>
      <c r="M11" s="4">
        <v>5.0</v>
      </c>
      <c r="N11" s="4">
        <v>5.0</v>
      </c>
      <c r="O11" s="4">
        <v>5.0</v>
      </c>
      <c r="P11" s="4">
        <v>10.0</v>
      </c>
      <c r="Q11" s="4" t="s">
        <v>22</v>
      </c>
      <c r="R11" s="4" t="s">
        <v>56</v>
      </c>
      <c r="S11" s="4" t="s">
        <v>57</v>
      </c>
      <c r="T11" s="4" t="s">
        <v>58</v>
      </c>
    </row>
    <row r="12" ht="22.5" customHeight="1">
      <c r="A12" s="2">
        <v>46214.73018458333</v>
      </c>
      <c r="B12" s="3" t="s">
        <v>52</v>
      </c>
      <c r="C12" s="4" t="s">
        <v>59</v>
      </c>
      <c r="D12" s="4">
        <v>5.0</v>
      </c>
      <c r="E12" s="4">
        <v>5.0</v>
      </c>
      <c r="F12" s="4">
        <v>5.0</v>
      </c>
      <c r="G12" s="4">
        <v>5.0</v>
      </c>
      <c r="H12" s="4">
        <v>5.0</v>
      </c>
      <c r="I12" s="4">
        <v>5.0</v>
      </c>
      <c r="J12" s="4">
        <v>5.0</v>
      </c>
      <c r="K12" s="4">
        <v>3.0</v>
      </c>
      <c r="L12" s="4">
        <v>4.0</v>
      </c>
      <c r="M12" s="4">
        <v>5.0</v>
      </c>
      <c r="N12" s="4">
        <v>5.0</v>
      </c>
      <c r="O12" s="4">
        <v>5.0</v>
      </c>
      <c r="P12" s="4">
        <v>10.0</v>
      </c>
      <c r="Q12" s="4" t="s">
        <v>22</v>
      </c>
      <c r="R12" s="4" t="s">
        <v>60</v>
      </c>
      <c r="S12" s="4" t="s">
        <v>61</v>
      </c>
      <c r="T12" s="4" t="s">
        <v>25</v>
      </c>
    </row>
    <row r="13" ht="22.5" customHeight="1">
      <c r="A13" s="2">
        <v>46214.73036851852</v>
      </c>
      <c r="B13" s="3" t="s">
        <v>52</v>
      </c>
      <c r="C13" s="4" t="s">
        <v>62</v>
      </c>
      <c r="D13" s="4">
        <v>3.0</v>
      </c>
      <c r="E13" s="4">
        <v>3.0</v>
      </c>
      <c r="F13" s="4">
        <v>3.0</v>
      </c>
      <c r="G13" s="4">
        <v>3.0</v>
      </c>
      <c r="H13" s="4">
        <v>3.0</v>
      </c>
      <c r="I13" s="4">
        <v>3.0</v>
      </c>
      <c r="J13" s="4">
        <v>3.0</v>
      </c>
      <c r="K13" s="4">
        <v>3.0</v>
      </c>
      <c r="L13" s="4">
        <v>3.0</v>
      </c>
      <c r="M13" s="4">
        <v>3.0</v>
      </c>
      <c r="N13" s="4">
        <v>3.0</v>
      </c>
      <c r="O13" s="4">
        <v>3.0</v>
      </c>
      <c r="P13" s="4">
        <v>7.0</v>
      </c>
      <c r="Q13" s="4" t="s">
        <v>22</v>
      </c>
      <c r="R13" s="4" t="s">
        <v>63</v>
      </c>
      <c r="S13" s="4" t="s">
        <v>54</v>
      </c>
      <c r="T13" s="4" t="s">
        <v>54</v>
      </c>
    </row>
    <row r="14" ht="22.5" customHeight="1">
      <c r="A14" s="2">
        <v>46214.730605902776</v>
      </c>
      <c r="B14" s="3" t="s">
        <v>52</v>
      </c>
      <c r="C14" s="4" t="s">
        <v>64</v>
      </c>
      <c r="D14" s="4">
        <v>5.0</v>
      </c>
      <c r="E14" s="4">
        <v>5.0</v>
      </c>
      <c r="F14" s="4">
        <v>4.0</v>
      </c>
      <c r="G14" s="4">
        <v>5.0</v>
      </c>
      <c r="H14" s="4">
        <v>5.0</v>
      </c>
      <c r="I14" s="4">
        <v>5.0</v>
      </c>
      <c r="J14" s="4">
        <v>4.0</v>
      </c>
      <c r="K14" s="4">
        <v>5.0</v>
      </c>
      <c r="L14" s="4">
        <v>5.0</v>
      </c>
      <c r="M14" s="4">
        <v>5.0</v>
      </c>
      <c r="N14" s="4">
        <v>5.0</v>
      </c>
      <c r="O14" s="4">
        <v>4.0</v>
      </c>
      <c r="P14" s="4">
        <v>8.0</v>
      </c>
      <c r="Q14" s="4" t="s">
        <v>27</v>
      </c>
      <c r="R14" s="4" t="s">
        <v>65</v>
      </c>
      <c r="S14" s="4" t="s">
        <v>66</v>
      </c>
      <c r="T14" s="4" t="s">
        <v>67</v>
      </c>
    </row>
    <row r="15" ht="22.5" customHeight="1">
      <c r="A15" s="2">
        <v>46214.734937002315</v>
      </c>
      <c r="B15" s="3" t="s">
        <v>52</v>
      </c>
      <c r="C15" s="4" t="s">
        <v>68</v>
      </c>
      <c r="D15" s="4">
        <v>5.0</v>
      </c>
      <c r="E15" s="4">
        <v>5.0</v>
      </c>
      <c r="F15" s="4">
        <v>5.0</v>
      </c>
      <c r="G15" s="4">
        <v>5.0</v>
      </c>
      <c r="H15" s="4">
        <v>5.0</v>
      </c>
      <c r="I15" s="4">
        <v>5.0</v>
      </c>
      <c r="J15" s="4">
        <v>5.0</v>
      </c>
      <c r="K15" s="4">
        <v>5.0</v>
      </c>
      <c r="L15" s="4">
        <v>5.0</v>
      </c>
      <c r="M15" s="4">
        <v>5.0</v>
      </c>
      <c r="N15" s="4">
        <v>5.0</v>
      </c>
      <c r="O15" s="4">
        <v>5.0</v>
      </c>
      <c r="P15" s="4">
        <v>10.0</v>
      </c>
      <c r="Q15" s="4" t="s">
        <v>22</v>
      </c>
      <c r="R15" s="4" t="s">
        <v>69</v>
      </c>
      <c r="S15" s="4" t="s">
        <v>70</v>
      </c>
      <c r="T15" s="4" t="s">
        <v>71</v>
      </c>
    </row>
    <row r="16" ht="22.5" customHeight="1">
      <c r="A16" s="2">
        <v>46214.73567252315</v>
      </c>
      <c r="B16" s="3" t="s">
        <v>52</v>
      </c>
      <c r="C16" s="4" t="s">
        <v>72</v>
      </c>
      <c r="D16" s="4">
        <v>4.0</v>
      </c>
      <c r="E16" s="4">
        <v>4.0</v>
      </c>
      <c r="F16" s="4">
        <v>4.0</v>
      </c>
      <c r="G16" s="4">
        <v>4.0</v>
      </c>
      <c r="H16" s="4">
        <v>4.0</v>
      </c>
      <c r="I16" s="4">
        <v>4.0</v>
      </c>
      <c r="J16" s="4">
        <v>4.0</v>
      </c>
      <c r="K16" s="4">
        <v>4.0</v>
      </c>
      <c r="L16" s="4">
        <v>4.0</v>
      </c>
      <c r="M16" s="4">
        <v>5.0</v>
      </c>
      <c r="N16" s="4">
        <v>5.0</v>
      </c>
      <c r="O16" s="4">
        <v>4.0</v>
      </c>
      <c r="P16" s="4">
        <v>8.0</v>
      </c>
      <c r="Q16" s="4" t="s">
        <v>22</v>
      </c>
      <c r="R16" s="4" t="s">
        <v>73</v>
      </c>
      <c r="S16" s="4" t="s">
        <v>74</v>
      </c>
      <c r="T16" s="4" t="s">
        <v>75</v>
      </c>
    </row>
    <row r="17" ht="22.5" customHeight="1">
      <c r="A17" s="2">
        <v>46214.7298046412</v>
      </c>
      <c r="B17" s="3" t="s">
        <v>76</v>
      </c>
      <c r="C17" s="4" t="s">
        <v>77</v>
      </c>
      <c r="D17" s="4">
        <v>3.0</v>
      </c>
      <c r="E17" s="4">
        <v>3.0</v>
      </c>
      <c r="F17" s="4">
        <v>3.0</v>
      </c>
      <c r="G17" s="4">
        <v>3.0</v>
      </c>
      <c r="H17" s="4">
        <v>3.0</v>
      </c>
      <c r="I17" s="4">
        <v>3.0</v>
      </c>
      <c r="J17" s="4">
        <v>3.0</v>
      </c>
      <c r="K17" s="4">
        <v>3.0</v>
      </c>
      <c r="L17" s="4">
        <v>3.0</v>
      </c>
      <c r="M17" s="4">
        <v>3.0</v>
      </c>
      <c r="N17" s="4">
        <v>3.0</v>
      </c>
      <c r="O17" s="4">
        <v>3.0</v>
      </c>
      <c r="P17" s="4">
        <v>3.0</v>
      </c>
      <c r="Q17" s="4" t="s">
        <v>78</v>
      </c>
      <c r="R17" s="4" t="s">
        <v>79</v>
      </c>
      <c r="S17" s="4" t="s">
        <v>80</v>
      </c>
      <c r="T17" s="4" t="s">
        <v>81</v>
      </c>
    </row>
    <row r="18" ht="22.5" customHeight="1">
      <c r="A18" s="2">
        <v>46214.7300487037</v>
      </c>
      <c r="B18" s="3" t="s">
        <v>76</v>
      </c>
      <c r="C18" s="4" t="s">
        <v>82</v>
      </c>
      <c r="D18" s="4">
        <v>4.0</v>
      </c>
      <c r="E18" s="4">
        <v>3.0</v>
      </c>
      <c r="F18" s="4">
        <v>4.0</v>
      </c>
      <c r="G18" s="4">
        <v>4.0</v>
      </c>
      <c r="H18" s="4">
        <v>5.0</v>
      </c>
      <c r="I18" s="4">
        <v>5.0</v>
      </c>
      <c r="J18" s="4">
        <v>5.0</v>
      </c>
      <c r="K18" s="4">
        <v>3.0</v>
      </c>
      <c r="L18" s="4">
        <v>4.0</v>
      </c>
      <c r="M18" s="4">
        <v>4.0</v>
      </c>
      <c r="N18" s="4">
        <v>4.0</v>
      </c>
      <c r="O18" s="4">
        <v>4.0</v>
      </c>
      <c r="P18" s="4">
        <v>9.0</v>
      </c>
      <c r="Q18" s="4" t="s">
        <v>22</v>
      </c>
      <c r="R18" s="4" t="s">
        <v>25</v>
      </c>
      <c r="S18" s="4" t="s">
        <v>25</v>
      </c>
      <c r="T18" s="4" t="s">
        <v>25</v>
      </c>
    </row>
    <row r="19" ht="22.5" customHeight="1">
      <c r="A19" s="2">
        <v>46214.73011400463</v>
      </c>
      <c r="B19" s="3" t="s">
        <v>76</v>
      </c>
      <c r="C19" s="4" t="s">
        <v>83</v>
      </c>
      <c r="D19" s="4">
        <v>5.0</v>
      </c>
      <c r="E19" s="4">
        <v>5.0</v>
      </c>
      <c r="F19" s="4">
        <v>5.0</v>
      </c>
      <c r="G19" s="4">
        <v>5.0</v>
      </c>
      <c r="H19" s="4">
        <v>5.0</v>
      </c>
      <c r="I19" s="4">
        <v>5.0</v>
      </c>
      <c r="J19" s="4">
        <v>5.0</v>
      </c>
      <c r="K19" s="4">
        <v>5.0</v>
      </c>
      <c r="L19" s="4">
        <v>5.0</v>
      </c>
      <c r="M19" s="4">
        <v>5.0</v>
      </c>
      <c r="N19" s="4">
        <v>5.0</v>
      </c>
      <c r="O19" s="4">
        <v>5.0</v>
      </c>
      <c r="P19" s="4">
        <v>10.0</v>
      </c>
      <c r="Q19" s="4" t="s">
        <v>22</v>
      </c>
      <c r="R19" s="4" t="s">
        <v>84</v>
      </c>
      <c r="S19" s="4" t="s">
        <v>85</v>
      </c>
      <c r="T19" s="4" t="s">
        <v>86</v>
      </c>
    </row>
    <row r="20" ht="22.5" customHeight="1">
      <c r="A20" s="2">
        <v>46214.73037488426</v>
      </c>
      <c r="B20" s="3" t="s">
        <v>76</v>
      </c>
      <c r="C20" s="4" t="s">
        <v>87</v>
      </c>
      <c r="D20" s="4">
        <v>4.0</v>
      </c>
      <c r="E20" s="4">
        <v>4.0</v>
      </c>
      <c r="F20" s="4">
        <v>4.0</v>
      </c>
      <c r="G20" s="4">
        <v>5.0</v>
      </c>
      <c r="H20" s="4">
        <v>4.0</v>
      </c>
      <c r="I20" s="4">
        <v>5.0</v>
      </c>
      <c r="J20" s="4">
        <v>4.0</v>
      </c>
      <c r="K20" s="4">
        <v>4.0</v>
      </c>
      <c r="L20" s="4">
        <v>4.0</v>
      </c>
      <c r="M20" s="4">
        <v>5.0</v>
      </c>
      <c r="N20" s="4">
        <v>5.0</v>
      </c>
      <c r="O20" s="4">
        <v>5.0</v>
      </c>
      <c r="P20" s="4">
        <v>8.0</v>
      </c>
      <c r="Q20" s="4" t="s">
        <v>22</v>
      </c>
      <c r="R20" s="4">
        <v>1.0</v>
      </c>
      <c r="S20" s="4">
        <v>1.0</v>
      </c>
      <c r="T20" s="4">
        <v>1.0</v>
      </c>
    </row>
    <row r="21" ht="22.5" customHeight="1">
      <c r="A21" s="2">
        <v>46214.73065787037</v>
      </c>
      <c r="B21" s="3" t="s">
        <v>76</v>
      </c>
      <c r="C21" s="4" t="s">
        <v>88</v>
      </c>
      <c r="D21" s="4">
        <v>5.0</v>
      </c>
      <c r="E21" s="4">
        <v>5.0</v>
      </c>
      <c r="F21" s="4">
        <v>5.0</v>
      </c>
      <c r="G21" s="4">
        <v>5.0</v>
      </c>
      <c r="H21" s="4">
        <v>5.0</v>
      </c>
      <c r="I21" s="4">
        <v>5.0</v>
      </c>
      <c r="J21" s="4">
        <v>4.0</v>
      </c>
      <c r="K21" s="4">
        <v>4.0</v>
      </c>
      <c r="L21" s="4">
        <v>4.0</v>
      </c>
      <c r="M21" s="4">
        <v>5.0</v>
      </c>
      <c r="N21" s="4">
        <v>5.0</v>
      </c>
      <c r="O21" s="4">
        <v>5.0</v>
      </c>
      <c r="P21" s="4">
        <v>10.0</v>
      </c>
      <c r="Q21" s="4" t="s">
        <v>22</v>
      </c>
      <c r="R21" s="4" t="s">
        <v>89</v>
      </c>
      <c r="S21" s="4" t="s">
        <v>90</v>
      </c>
      <c r="T21" s="4" t="s">
        <v>91</v>
      </c>
    </row>
    <row r="22" ht="22.5" customHeight="1">
      <c r="A22" s="6"/>
      <c r="B22" s="6"/>
      <c r="C22" s="6"/>
      <c r="D22" s="6">
        <f>AVERAGE(Form_Responses[1. (학습 내용) 사전 학습한 온라인 교육의 난이도는 적절했다.])</f>
        <v>4.35</v>
      </c>
      <c r="E22" s="6">
        <f>AVERAGE(Form_Responses[2. (오프라인 연계) 사전 이러닝이 오프라인 교육 내용을 이해하는 데 도움이 되었다.])</f>
        <v>4.2</v>
      </c>
      <c r="F22" s="6">
        <f>AVERAGE(Form_Responses[3. (교육 내용) 교육 내용은 인사조직 의사결정에 필요한 핵심 개념과 사례를 충실히 다루었다.])</f>
        <v>4.3</v>
      </c>
      <c r="G22" s="6">
        <f>AVERAGE(Form_Responses[4. (난이도) 오프라인 교육의 난이도는 적절했다.])</f>
        <v>4.4</v>
      </c>
      <c r="H22" s="6">
        <f>AVERAGE(Form_Responses[5. (강사) 강사는 교육 주제에 대한 전문 지식이 충분했다.])</f>
        <v>4.5</v>
      </c>
      <c r="I22" s="6">
        <f>AVERAGE(Form_Responses[6. (강사) 강사는 교육 내용을 이해하기 쉽게 설명하였다.])</f>
        <v>4.55</v>
      </c>
      <c r="J22" s="6">
        <f>AVERAGE(Form_Responses[7. (실습·참여) 워크숍 중 실습·토론 활동이 학습 이해에 도움이 되었다.])</f>
        <v>4.4</v>
      </c>
      <c r="K22" s="6">
        <f>AVERAGE(Form_Responses[8. (퍼실리테이터) 퍼실리테이터(강사)는 팀이 막힐 때 적절한 질문과 가이드를 제공했다.])</f>
        <v>4.15</v>
      </c>
      <c r="L22" s="6">
        <f>AVERAGE(Form_Responses[9. (학습 성취) 액션러닝을 통해 워크숍에서 배운 개념을 실제 문제에 적용해 보는 경험을 했다.])</f>
        <v>4.15</v>
      </c>
      <c r="M22" s="6">
        <f>AVERAGE(Form_Responses[10. (운영 만족도) 교육 안내, 일정, 장소·시설 등 운영 전반이 원활했다.])</f>
        <v>4.6</v>
      </c>
      <c r="N22" s="6">
        <f>AVERAGE(Form_Responses[11. (커뮤니케이션) 교육 운영자의 사전·당일 안내가 명확하고 신속했다.])</f>
        <v>4.55</v>
      </c>
      <c r="O22" s="6">
        <f>AVERAGE(Form_Responses[12. (종합 만족도) 이번 사내 MBA 과정에 전반적으로 얼마나 만족하십니까?])</f>
        <v>4.35</v>
      </c>
      <c r="P22" s="6">
        <f>AVERAGE(Form_Responses[13. (NPS) 이 과정을 동료에게 추천하실 의향이 어느 정도이십니까?])</f>
        <v>8.1</v>
      </c>
      <c r="Q22" s="6"/>
      <c r="R22" s="6"/>
      <c r="S22" s="6"/>
      <c r="T22" s="6"/>
    </row>
    <row r="26">
      <c r="P26" s="7"/>
    </row>
    <row r="27">
      <c r="P27" s="7"/>
    </row>
    <row r="28">
      <c r="P28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25"/>
    <col customWidth="1" min="9" max="9" width="17.63"/>
    <col customWidth="1" min="11" max="11" width="20.25"/>
    <col customWidth="1" min="12" max="12" width="17.63"/>
  </cols>
  <sheetData>
    <row r="1" ht="22.5" customHeight="1">
      <c r="A1" s="9" t="s">
        <v>92</v>
      </c>
      <c r="B1" s="10" t="s">
        <v>93</v>
      </c>
      <c r="C1" s="10" t="s">
        <v>94</v>
      </c>
      <c r="D1" s="1" t="s">
        <v>10</v>
      </c>
      <c r="E1" s="1" t="s">
        <v>11</v>
      </c>
      <c r="G1" s="11" t="s">
        <v>95</v>
      </c>
      <c r="H1" s="12" t="s">
        <v>96</v>
      </c>
      <c r="I1" s="13" t="s">
        <v>97</v>
      </c>
      <c r="J1" s="14" t="s">
        <v>95</v>
      </c>
      <c r="K1" s="12" t="s">
        <v>96</v>
      </c>
      <c r="L1" s="15" t="s">
        <v>97</v>
      </c>
    </row>
    <row r="2" ht="22.5" customHeight="1">
      <c r="A2" s="16">
        <v>1.0</v>
      </c>
      <c r="B2" s="3" t="s">
        <v>98</v>
      </c>
      <c r="C2" s="3" t="s">
        <v>20</v>
      </c>
      <c r="D2" s="4">
        <v>3.0</v>
      </c>
      <c r="E2" s="4">
        <v>3.0</v>
      </c>
      <c r="G2" s="17" t="s">
        <v>20</v>
      </c>
      <c r="H2" s="18">
        <f t="shared" ref="H2:I2" si="1">average(D2:D5)</f>
        <v>4</v>
      </c>
      <c r="I2" s="18">
        <f t="shared" si="1"/>
        <v>4</v>
      </c>
      <c r="J2" s="19" t="s">
        <v>99</v>
      </c>
      <c r="K2" s="20">
        <f t="shared" ref="K2:L2" si="2">average(D2:D5,D17:D21)</f>
        <v>4.111111111</v>
      </c>
      <c r="L2" s="20">
        <f t="shared" si="2"/>
        <v>3.888888889</v>
      </c>
    </row>
    <row r="3" ht="22.5" customHeight="1">
      <c r="A3" s="16">
        <v>6.0</v>
      </c>
      <c r="B3" s="3" t="s">
        <v>100</v>
      </c>
      <c r="C3" s="3" t="s">
        <v>20</v>
      </c>
      <c r="D3" s="4">
        <v>5.0</v>
      </c>
      <c r="E3" s="4">
        <v>5.0</v>
      </c>
      <c r="G3" s="21" t="s">
        <v>76</v>
      </c>
      <c r="H3" s="18">
        <f t="shared" ref="H3:I3" si="3">average(D17:D21)</f>
        <v>4.2</v>
      </c>
      <c r="I3" s="18">
        <f t="shared" si="3"/>
        <v>3.8</v>
      </c>
      <c r="J3" s="22"/>
      <c r="K3" s="22"/>
      <c r="L3" s="22"/>
    </row>
    <row r="4" ht="22.5" customHeight="1">
      <c r="A4" s="16">
        <v>19.0</v>
      </c>
      <c r="B4" s="3" t="s">
        <v>101</v>
      </c>
      <c r="C4" s="3" t="s">
        <v>20</v>
      </c>
      <c r="D4" s="4">
        <v>4.0</v>
      </c>
      <c r="E4" s="4">
        <v>4.0</v>
      </c>
      <c r="G4" s="23" t="s">
        <v>38</v>
      </c>
      <c r="H4" s="24">
        <f t="shared" ref="H4:I4" si="4">average(D7:D9)</f>
        <v>4</v>
      </c>
      <c r="I4" s="24">
        <f t="shared" si="4"/>
        <v>4</v>
      </c>
      <c r="J4" s="25" t="s">
        <v>102</v>
      </c>
      <c r="K4" s="26">
        <f t="shared" ref="K4:L4" si="5">average(D8:D16)</f>
        <v>4.222222222</v>
      </c>
      <c r="L4" s="26">
        <f t="shared" si="5"/>
        <v>4.444444444</v>
      </c>
    </row>
    <row r="5" ht="22.5" customHeight="1">
      <c r="A5" s="16">
        <v>20.0</v>
      </c>
      <c r="B5" s="3" t="s">
        <v>103</v>
      </c>
      <c r="C5" s="3" t="s">
        <v>20</v>
      </c>
      <c r="D5" s="4">
        <v>4.0</v>
      </c>
      <c r="E5" s="4">
        <v>4.0</v>
      </c>
      <c r="G5" s="23" t="s">
        <v>52</v>
      </c>
      <c r="H5" s="27">
        <f t="shared" ref="H5:I5" si="6">average(D10:D16)</f>
        <v>4.142857143</v>
      </c>
      <c r="I5" s="27">
        <f t="shared" si="6"/>
        <v>4.428571429</v>
      </c>
      <c r="J5" s="22"/>
      <c r="K5" s="22"/>
      <c r="L5" s="22"/>
    </row>
    <row r="6" ht="22.5" customHeight="1">
      <c r="A6" s="16">
        <v>2.0</v>
      </c>
      <c r="B6" s="3" t="s">
        <v>104</v>
      </c>
      <c r="C6" s="3" t="s">
        <v>38</v>
      </c>
      <c r="D6" s="4">
        <v>5.0</v>
      </c>
      <c r="E6" s="4">
        <v>5.0</v>
      </c>
    </row>
    <row r="7" ht="22.5" customHeight="1">
      <c r="A7" s="16">
        <v>4.0</v>
      </c>
      <c r="B7" s="3" t="s">
        <v>105</v>
      </c>
      <c r="C7" s="3" t="s">
        <v>38</v>
      </c>
      <c r="D7" s="3">
        <v>3.0</v>
      </c>
      <c r="E7" s="3">
        <v>3.0</v>
      </c>
    </row>
    <row r="8" ht="22.5" customHeight="1">
      <c r="A8" s="16">
        <v>15.0</v>
      </c>
      <c r="B8" s="3" t="s">
        <v>106</v>
      </c>
      <c r="C8" s="3" t="s">
        <v>38</v>
      </c>
      <c r="D8" s="4">
        <v>4.0</v>
      </c>
      <c r="E8" s="4">
        <v>4.0</v>
      </c>
    </row>
    <row r="9" ht="22.5" customHeight="1">
      <c r="A9" s="16">
        <v>18.0</v>
      </c>
      <c r="B9" s="3" t="s">
        <v>107</v>
      </c>
      <c r="C9" s="3" t="s">
        <v>38</v>
      </c>
      <c r="D9" s="4">
        <v>5.0</v>
      </c>
      <c r="E9" s="4">
        <v>5.0</v>
      </c>
    </row>
    <row r="10" ht="22.5" customHeight="1">
      <c r="A10" s="16">
        <v>5.0</v>
      </c>
      <c r="B10" s="3" t="s">
        <v>108</v>
      </c>
      <c r="C10" s="3" t="s">
        <v>52</v>
      </c>
      <c r="D10" s="4">
        <v>5.0</v>
      </c>
      <c r="E10" s="4">
        <v>5.0</v>
      </c>
    </row>
    <row r="11" ht="22.5" customHeight="1">
      <c r="A11" s="16">
        <v>8.0</v>
      </c>
      <c r="B11" s="3" t="s">
        <v>55</v>
      </c>
      <c r="C11" s="3" t="s">
        <v>52</v>
      </c>
      <c r="D11" s="4">
        <v>5.0</v>
      </c>
      <c r="E11" s="4">
        <v>5.0</v>
      </c>
    </row>
    <row r="12" ht="22.5" customHeight="1">
      <c r="A12" s="16">
        <v>10.0</v>
      </c>
      <c r="B12" s="3" t="s">
        <v>109</v>
      </c>
      <c r="C12" s="3" t="s">
        <v>52</v>
      </c>
      <c r="D12" s="4">
        <v>5.0</v>
      </c>
      <c r="E12" s="4">
        <v>5.0</v>
      </c>
    </row>
    <row r="13" ht="22.5" customHeight="1">
      <c r="A13" s="16">
        <v>11.0</v>
      </c>
      <c r="B13" s="3" t="s">
        <v>110</v>
      </c>
      <c r="C13" s="3" t="s">
        <v>52</v>
      </c>
      <c r="D13" s="4">
        <v>3.0</v>
      </c>
      <c r="E13" s="4">
        <v>4.0</v>
      </c>
    </row>
    <row r="14" ht="22.5" customHeight="1">
      <c r="A14" s="16">
        <v>13.0</v>
      </c>
      <c r="B14" s="3" t="s">
        <v>111</v>
      </c>
      <c r="C14" s="3" t="s">
        <v>52</v>
      </c>
      <c r="D14" s="4">
        <v>5.0</v>
      </c>
      <c r="E14" s="4">
        <v>5.0</v>
      </c>
    </row>
    <row r="15" ht="22.5" customHeight="1">
      <c r="A15" s="16">
        <v>16.0</v>
      </c>
      <c r="B15" s="3" t="s">
        <v>112</v>
      </c>
      <c r="C15" s="3" t="s">
        <v>52</v>
      </c>
      <c r="D15" s="4">
        <v>3.0</v>
      </c>
      <c r="E15" s="4">
        <v>3.0</v>
      </c>
    </row>
    <row r="16" ht="22.5" customHeight="1">
      <c r="A16" s="16">
        <v>17.0</v>
      </c>
      <c r="B16" s="3" t="s">
        <v>113</v>
      </c>
      <c r="C16" s="3" t="s">
        <v>52</v>
      </c>
      <c r="D16" s="4">
        <v>3.0</v>
      </c>
      <c r="E16" s="4">
        <v>4.0</v>
      </c>
    </row>
    <row r="17" ht="22.5" customHeight="1">
      <c r="A17" s="16">
        <v>3.0</v>
      </c>
      <c r="B17" s="3" t="s">
        <v>114</v>
      </c>
      <c r="C17" s="3" t="s">
        <v>76</v>
      </c>
      <c r="D17" s="4">
        <v>4.0</v>
      </c>
      <c r="E17" s="4">
        <v>2.0</v>
      </c>
    </row>
    <row r="18" ht="22.5" customHeight="1">
      <c r="A18" s="16">
        <v>7.0</v>
      </c>
      <c r="B18" s="3" t="s">
        <v>115</v>
      </c>
      <c r="C18" s="3" t="s">
        <v>76</v>
      </c>
      <c r="D18" s="4">
        <v>5.0</v>
      </c>
      <c r="E18" s="4">
        <v>5.0</v>
      </c>
    </row>
    <row r="19" ht="22.5" customHeight="1">
      <c r="A19" s="16">
        <v>9.0</v>
      </c>
      <c r="B19" s="3" t="s">
        <v>116</v>
      </c>
      <c r="C19" s="3" t="s">
        <v>76</v>
      </c>
      <c r="D19" s="4">
        <v>4.0</v>
      </c>
      <c r="E19" s="4">
        <v>4.0</v>
      </c>
    </row>
    <row r="20" ht="22.5" customHeight="1">
      <c r="A20" s="16">
        <v>12.0</v>
      </c>
      <c r="B20" s="3" t="s">
        <v>117</v>
      </c>
      <c r="C20" s="3" t="s">
        <v>76</v>
      </c>
      <c r="D20" s="4">
        <v>3.0</v>
      </c>
      <c r="E20" s="4">
        <v>3.0</v>
      </c>
    </row>
    <row r="21" ht="22.5" customHeight="1">
      <c r="A21" s="16">
        <v>14.0</v>
      </c>
      <c r="B21" s="3" t="s">
        <v>88</v>
      </c>
      <c r="C21" s="3" t="s">
        <v>76</v>
      </c>
      <c r="D21" s="4">
        <v>5.0</v>
      </c>
      <c r="E21" s="4">
        <v>5.0</v>
      </c>
    </row>
  </sheetData>
  <mergeCells count="6">
    <mergeCell ref="J2:J3"/>
    <mergeCell ref="K2:K3"/>
    <mergeCell ref="L2:L3"/>
    <mergeCell ref="J4:J5"/>
    <mergeCell ref="K4:K5"/>
    <mergeCell ref="L4:L5"/>
  </mergeCells>
  <drawing r:id="rId1"/>
  <tableParts count="1">
    <tablePart r:id="rId3"/>
  </tableParts>
</worksheet>
</file>